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ado de Resultados" sheetId="1" state="visible" r:id="rId1"/>
    <sheet name="Balance General" sheetId="2" state="visible" r:id="rId2"/>
    <sheet name="Balance de Comprobación" sheetId="3" state="visible" r:id="rId3"/>
    <sheet name="Ratios Financier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(#,##0.00);&quot;-&quot;"/>
  </numFmts>
  <fonts count="9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i val="1"/>
      <sz val="9"/>
    </font>
    <font>
      <name val="Arial"/>
      <b val="1"/>
      <color rgb="001F4E79"/>
      <sz val="9"/>
    </font>
    <font>
      <name val="Arial"/>
      <sz val="9"/>
    </font>
    <font>
      <name val="Arial"/>
      <color rgb="00000000"/>
      <sz val="9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i val="1"/>
      <color rgb="00595959"/>
      <sz val="8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  <fill>
      <patternFill patternType="solid">
        <fgColor rgb="002E75B6"/>
      </patternFill>
    </fill>
    <fill>
      <patternFill patternType="solid">
        <fgColor rgb="00F2F7FC"/>
      </patternFill>
    </fill>
  </fills>
  <borders count="3">
    <border>
      <left/>
      <right/>
      <top/>
      <bottom/>
      <diagonal/>
    </border>
    <border>
      <bottom style="thin">
        <color rgb="002E75B6"/>
      </bottom>
    </border>
    <border>
      <left/>
      <right/>
      <top/>
      <bottom style="thin">
        <color rgb="002E75B6"/>
      </bottom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applyAlignment="1" pivotButton="0" quotePrefix="0" xfId="0">
      <alignment horizontal="left" indent="1"/>
    </xf>
    <xf numFmtId="0" fontId="4" fillId="0" borderId="0" applyAlignment="1" pivotButton="0" quotePrefix="0" xfId="0">
      <alignment horizontal="left" indent="2"/>
    </xf>
    <xf numFmtId="164" fontId="5" fillId="0" borderId="0" applyAlignment="1" pivotButton="0" quotePrefix="0" xfId="0">
      <alignment horizontal="right"/>
    </xf>
    <xf numFmtId="0" fontId="3" fillId="4" borderId="0" applyAlignment="1" pivotButton="0" quotePrefix="0" xfId="0">
      <alignment horizontal="left" indent="1"/>
    </xf>
    <xf numFmtId="164" fontId="3" fillId="4" borderId="0" applyAlignment="1" pivotButton="0" quotePrefix="0" xfId="0">
      <alignment horizontal="right"/>
    </xf>
    <xf numFmtId="0" fontId="0" fillId="0" borderId="1" pivotButton="0" quotePrefix="0" xfId="0"/>
    <xf numFmtId="0" fontId="6" fillId="5" borderId="0" applyAlignment="1" pivotButton="0" quotePrefix="0" xfId="0">
      <alignment horizontal="left" vertical="center" indent="1"/>
    </xf>
    <xf numFmtId="0" fontId="4" fillId="0" borderId="1" applyAlignment="1" pivotButton="0" quotePrefix="0" xfId="0">
      <alignment horizontal="left" indent="2"/>
    </xf>
    <xf numFmtId="164" fontId="5" fillId="0" borderId="1" applyAlignment="1" pivotButton="0" quotePrefix="0" xfId="0">
      <alignment horizontal="right"/>
    </xf>
    <xf numFmtId="0" fontId="4" fillId="3" borderId="0" applyAlignment="1" pivotButton="0" quotePrefix="0" xfId="0">
      <alignment horizontal="left" indent="2"/>
    </xf>
    <xf numFmtId="0" fontId="3" fillId="4" borderId="1" applyAlignment="1" pivotButton="0" quotePrefix="0" xfId="0">
      <alignment horizontal="left" indent="1"/>
    </xf>
    <xf numFmtId="164" fontId="3" fillId="4" borderId="1" applyAlignment="1" pivotButton="0" quotePrefix="0" xfId="0">
      <alignment horizontal="right"/>
    </xf>
    <xf numFmtId="0" fontId="3" fillId="3" borderId="1" applyAlignment="1" pivotButton="0" quotePrefix="0" xfId="0">
      <alignment horizontal="left" indent="1"/>
    </xf>
    <xf numFmtId="0" fontId="0" fillId="0" borderId="2" pivotButton="0" quotePrefix="0" xfId="0"/>
    <xf numFmtId="0" fontId="4" fillId="4" borderId="0" applyAlignment="1" pivotButton="0" quotePrefix="0" xfId="0">
      <alignment horizontal="left" indent="2"/>
    </xf>
    <xf numFmtId="0" fontId="7" fillId="5" borderId="0" applyAlignment="1" pivotButton="0" quotePrefix="0" xfId="0">
      <alignment horizontal="center"/>
    </xf>
    <xf numFmtId="0" fontId="4" fillId="0" borderId="0" applyAlignment="1" pivotButton="0" quotePrefix="0" xfId="0">
      <alignment horizontal="left"/>
    </xf>
    <xf numFmtId="164" fontId="4" fillId="0" borderId="0" applyAlignment="1" pivotButton="0" quotePrefix="0" xfId="0">
      <alignment horizontal="right"/>
    </xf>
    <xf numFmtId="0" fontId="4" fillId="6" borderId="0" applyAlignment="1" pivotButton="0" quotePrefix="0" xfId="0">
      <alignment horizontal="left"/>
    </xf>
    <xf numFmtId="164" fontId="4" fillId="6" borderId="0" applyAlignment="1" pivotButton="0" quotePrefix="0" xfId="0">
      <alignment horizontal="right"/>
    </xf>
    <xf numFmtId="0" fontId="3" fillId="4" borderId="0" pivotButton="0" quotePrefix="0" xfId="0"/>
    <xf numFmtId="0" fontId="4" fillId="6" borderId="0" applyAlignment="1" pivotButton="0" quotePrefix="0" xfId="0">
      <alignment horizontal="left" indent="2"/>
    </xf>
    <xf numFmtId="2" fontId="3" fillId="6" borderId="0" applyAlignment="1" pivotButton="0" quotePrefix="0" xfId="0">
      <alignment horizontal="center"/>
    </xf>
    <xf numFmtId="0" fontId="8" fillId="6" borderId="0" pivotButton="0" quotePrefix="0" xfId="0"/>
    <xf numFmtId="2" fontId="3" fillId="0" borderId="0" applyAlignment="1" pivotButton="0" quotePrefix="0" xfId="0">
      <alignment horizontal="center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</cols>
  <sheetData>
    <row r="1" ht="28" customHeight="1">
      <c r="A1" s="1" t="inlineStr">
        <is>
          <t>ESTADO DE GANANCIAS Y PÉRDIDAS — ABRIL 2026</t>
        </is>
      </c>
    </row>
    <row r="2" ht="18" customHeight="1">
      <c r="A2" s="2" t="inlineStr">
        <is>
          <t>RUC: 20123456789</t>
        </is>
      </c>
    </row>
    <row r="3" ht="18" customHeight="1">
      <c r="A3" s="2" t="inlineStr">
        <is>
          <t>Comercial Andina S.A.C.</t>
        </is>
      </c>
    </row>
    <row r="5">
      <c r="A5" s="3" t="inlineStr">
        <is>
          <t>INGRESOS OPERACIONALES</t>
        </is>
      </c>
    </row>
    <row r="6">
      <c r="A6" s="4" t="inlineStr">
        <is>
          <t>Ventas Netas (ingresos operacionales)</t>
        </is>
      </c>
      <c r="B6" s="5" t="n">
        <v>208571.99</v>
      </c>
    </row>
    <row r="7">
      <c r="A7" s="6" t="inlineStr">
        <is>
          <t>Total de Ingresos Brutos</t>
        </is>
      </c>
      <c r="B7" s="7">
        <f>B6</f>
        <v/>
      </c>
    </row>
    <row r="8">
      <c r="A8" s="8" t="n"/>
      <c r="B8" s="8" t="n"/>
      <c r="C8" s="8" t="n"/>
      <c r="D8" s="8" t="n"/>
    </row>
    <row r="9">
      <c r="A9" s="3" t="inlineStr">
        <is>
          <t>COSTO</t>
        </is>
      </c>
    </row>
    <row r="10">
      <c r="A10" s="4" t="inlineStr">
        <is>
          <t>Costo de Ventas</t>
        </is>
      </c>
      <c r="B10" s="5" t="n">
        <v>125143.22</v>
      </c>
    </row>
    <row r="11">
      <c r="A11" s="6" t="inlineStr">
        <is>
          <t>Utilidad Bruta</t>
        </is>
      </c>
      <c r="B11" s="7">
        <f>B7-B10</f>
        <v/>
      </c>
    </row>
    <row r="12">
      <c r="A12" s="8" t="n"/>
      <c r="B12" s="8" t="n"/>
      <c r="C12" s="8" t="n"/>
      <c r="D12" s="8" t="n"/>
    </row>
    <row r="13">
      <c r="A13" s="3" t="inlineStr">
        <is>
          <t>GASTOS OPERACIONALES</t>
        </is>
      </c>
    </row>
    <row r="14">
      <c r="A14" s="4" t="inlineStr">
        <is>
          <t>Gastos de Administración</t>
        </is>
      </c>
      <c r="B14" s="5" t="n">
        <v>46741.33</v>
      </c>
    </row>
    <row r="15">
      <c r="A15" s="4" t="inlineStr">
        <is>
          <t>Gastos de Venta</t>
        </is>
      </c>
      <c r="B15" s="5" t="n">
        <v>2000</v>
      </c>
    </row>
    <row r="16">
      <c r="A16" s="6" t="inlineStr">
        <is>
          <t>Utilidad Operativa</t>
        </is>
      </c>
      <c r="B16" s="7">
        <f>B11-B14-B15</f>
        <v/>
      </c>
    </row>
    <row r="17">
      <c r="A17" s="8" t="n"/>
      <c r="B17" s="8" t="n"/>
      <c r="C17" s="8" t="n"/>
      <c r="D17" s="8" t="n"/>
    </row>
    <row r="18">
      <c r="A18" s="3" t="inlineStr">
        <is>
          <t>IMPUESTO A LA RENTA</t>
        </is>
      </c>
    </row>
    <row r="19">
      <c r="A19" s="4" t="inlineStr">
        <is>
          <t>Impuesto a la Renta 3ra Categoría</t>
        </is>
      </c>
      <c r="B19" s="5" t="n">
        <v>8327.200000000001</v>
      </c>
    </row>
    <row r="20">
      <c r="A20" s="6" t="inlineStr">
        <is>
          <t>UTILIDAD (PÉRDIDA) NETA DEL EJERCICIO</t>
        </is>
      </c>
      <c r="B20" s="7">
        <f>B16-B19</f>
        <v/>
      </c>
    </row>
  </sheetData>
  <mergeCells count="5">
    <mergeCell ref="A5:B5"/>
    <mergeCell ref="A13:B13"/>
    <mergeCell ref="A18:B18"/>
    <mergeCell ref="A1:B1"/>
    <mergeCell ref="A9:B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cols>
    <col width="36" customWidth="1" min="1" max="1"/>
    <col width="16" customWidth="1" min="2" max="2"/>
    <col width="36" customWidth="1" min="3" max="3"/>
    <col width="16" customWidth="1" min="4" max="4"/>
  </cols>
  <sheetData>
    <row r="1" ht="28" customHeight="1">
      <c r="A1" s="1" t="inlineStr">
        <is>
          <t>BALANCE GENERAL — ABRIL 2026</t>
        </is>
      </c>
    </row>
    <row r="2">
      <c r="A2" s="2" t="inlineStr">
        <is>
          <t>RUC: 20123456789   |   Comercial Andina S.A.C.</t>
        </is>
      </c>
    </row>
    <row r="4">
      <c r="A4" s="9" t="inlineStr">
        <is>
          <t>PASIVO Y PATRIMONIO</t>
        </is>
      </c>
    </row>
    <row r="5">
      <c r="A5" s="3" t="inlineStr">
        <is>
          <t>PASIVO CORRIENTE</t>
        </is>
      </c>
    </row>
    <row r="6">
      <c r="A6" s="4" t="inlineStr">
        <is>
          <t>Sobregiros y Pagares Bancarios</t>
        </is>
      </c>
      <c r="B6" s="5" t="inlineStr">
        <is>
          <t>-</t>
        </is>
      </c>
      <c r="D6" s="5" t="inlineStr">
        <is>
          <t>-</t>
        </is>
      </c>
    </row>
    <row r="7">
      <c r="A7" s="4" t="inlineStr">
        <is>
          <t>Cuentas por Pagar Comerciales</t>
        </is>
      </c>
      <c r="B7" s="5" t="inlineStr">
        <is>
          <t>-</t>
        </is>
      </c>
      <c r="D7" s="5" t="n">
        <v>140996.02</v>
      </c>
    </row>
    <row r="8">
      <c r="A8" s="4" t="inlineStr">
        <is>
          <t>Cuentas por Pagar a Vinculadas</t>
        </is>
      </c>
      <c r="B8" s="5" t="n">
        <v>246114.94</v>
      </c>
      <c r="D8" s="5" t="inlineStr">
        <is>
          <t>-</t>
        </is>
      </c>
    </row>
    <row r="9">
      <c r="A9" s="4" t="inlineStr">
        <is>
          <t>Otras Cuentas por Pagar</t>
        </is>
      </c>
      <c r="B9" s="5" t="inlineStr">
        <is>
          <t>-</t>
        </is>
      </c>
      <c r="D9" s="5" t="n">
        <v>68926.59</v>
      </c>
    </row>
    <row r="10">
      <c r="A10" s="4" t="inlineStr">
        <is>
          <t>Parte Corriente de las Deudas a Largo Plazo</t>
        </is>
      </c>
      <c r="B10" s="5" t="n">
        <v>11077.5</v>
      </c>
      <c r="D10" s="5" t="inlineStr">
        <is>
          <t>-</t>
        </is>
      </c>
    </row>
    <row r="11">
      <c r="A11" s="6" t="inlineStr">
        <is>
          <t>TOTAL PASIVO CORRIENTE</t>
        </is>
      </c>
      <c r="B11" s="5" t="n">
        <v>-125143.22</v>
      </c>
      <c r="D11" s="7">
        <f>D6+D7+D8+D9+D10</f>
        <v/>
      </c>
    </row>
    <row r="12">
      <c r="A12" s="10" t="inlineStr">
        <is>
          <t>Gastos Pagados por Anticipado</t>
        </is>
      </c>
      <c r="B12" s="11" t="inlineStr">
        <is>
          <t>-</t>
        </is>
      </c>
      <c r="C12" s="8" t="n"/>
      <c r="D12" s="8" t="n"/>
    </row>
    <row r="13">
      <c r="A13" s="3" t="inlineStr">
        <is>
          <t>PASIVO NO CORRIENTE</t>
        </is>
      </c>
    </row>
    <row r="14">
      <c r="A14" s="10" t="inlineStr">
        <is>
          <t>Deudas a Largo Plazo</t>
        </is>
      </c>
      <c r="B14" s="8" t="n"/>
      <c r="D14" s="5" t="inlineStr">
        <is>
          <t>-</t>
        </is>
      </c>
    </row>
    <row r="15">
      <c r="A15" s="12" t="inlineStr">
        <is>
          <t>Cuentas por Pagar a Vinculadas LP</t>
        </is>
      </c>
      <c r="D15" s="5" t="inlineStr">
        <is>
          <t>-</t>
        </is>
      </c>
    </row>
    <row r="16">
      <c r="A16" s="4" t="inlineStr">
        <is>
          <t>Ingresos Diferidos</t>
        </is>
      </c>
      <c r="B16" s="5" t="inlineStr">
        <is>
          <t>-</t>
        </is>
      </c>
      <c r="D16" s="5" t="inlineStr">
        <is>
          <t>-</t>
        </is>
      </c>
    </row>
    <row r="17">
      <c r="A17" s="4" t="inlineStr">
        <is>
          <t>Impuesto a la Renta y Participaciones Diferidos Pasivo</t>
        </is>
      </c>
      <c r="B17" s="5" t="inlineStr">
        <is>
          <t>-</t>
        </is>
      </c>
      <c r="D17" s="5" t="inlineStr">
        <is>
          <t>-</t>
        </is>
      </c>
    </row>
    <row r="18">
      <c r="A18" s="6" t="inlineStr">
        <is>
          <t>TOTAL PASIVO NO CORRIENTE</t>
        </is>
      </c>
      <c r="B18" s="5" t="inlineStr">
        <is>
          <t>-</t>
        </is>
      </c>
      <c r="D18" s="7">
        <f>D14+D15+D16+D17</f>
        <v/>
      </c>
    </row>
    <row r="19">
      <c r="A19" s="10" t="inlineStr">
        <is>
          <t>Inversiones Permanentes</t>
        </is>
      </c>
      <c r="B19" s="11" t="inlineStr">
        <is>
          <t>-</t>
        </is>
      </c>
      <c r="C19" s="8" t="n"/>
      <c r="D19" s="8" t="n"/>
    </row>
    <row r="20">
      <c r="A20" s="6" t="inlineStr">
        <is>
          <t>TOTAL PASIVO</t>
        </is>
      </c>
      <c r="B20" s="5" t="inlineStr">
        <is>
          <t>-</t>
        </is>
      </c>
      <c r="D20" s="7">
        <f>D11+D18</f>
        <v/>
      </c>
    </row>
    <row r="21">
      <c r="A21" s="10" t="inlineStr">
        <is>
          <t>Activos Intangibles (neto de amortizacion acumulada)</t>
        </is>
      </c>
      <c r="B21" s="11" t="inlineStr">
        <is>
          <t>-</t>
        </is>
      </c>
      <c r="C21" s="8" t="n"/>
      <c r="D21" s="8" t="n"/>
    </row>
    <row r="22">
      <c r="A22" s="4" t="inlineStr">
        <is>
          <t>Contingencias</t>
        </is>
      </c>
      <c r="B22" s="5" t="inlineStr">
        <is>
          <t>-</t>
        </is>
      </c>
      <c r="D22" s="5" t="inlineStr">
        <is>
          <t>-</t>
        </is>
      </c>
    </row>
    <row r="23">
      <c r="A23" s="4" t="inlineStr">
        <is>
          <t>Interes Minoritario</t>
        </is>
      </c>
      <c r="B23" s="5" t="inlineStr">
        <is>
          <t>-</t>
        </is>
      </c>
      <c r="D23" s="5" t="inlineStr">
        <is>
          <t>-</t>
        </is>
      </c>
    </row>
    <row r="24">
      <c r="A24" s="13" t="inlineStr">
        <is>
          <t>TOTAL ACTIVO NO CORRIENTE</t>
        </is>
      </c>
      <c r="B24" s="14">
        <f>B16+B17+B18+B19+B20+B21+B22+B23</f>
        <v/>
      </c>
      <c r="C24" s="8" t="n"/>
      <c r="D24" s="8" t="n"/>
    </row>
    <row r="25">
      <c r="A25" s="15" t="inlineStr">
        <is>
          <t>PATRIMONIO NETO</t>
        </is>
      </c>
      <c r="B25" s="16" t="n"/>
      <c r="C25" s="16" t="n"/>
      <c r="D25" s="16" t="n"/>
    </row>
    <row r="26">
      <c r="A26" s="17" t="inlineStr">
        <is>
          <t>Capital</t>
        </is>
      </c>
      <c r="B26" s="7">
        <f>B13+B24</f>
        <v/>
      </c>
      <c r="D26" s="5" t="inlineStr">
        <is>
          <t>-</t>
        </is>
      </c>
    </row>
    <row r="27">
      <c r="A27" s="4" t="inlineStr">
        <is>
          <t>Capital Adicional</t>
        </is>
      </c>
      <c r="D27" s="5" t="inlineStr">
        <is>
          <t>-</t>
        </is>
      </c>
    </row>
    <row r="28">
      <c r="A28" s="4" t="inlineStr">
        <is>
          <t>Acciones de Inversion</t>
        </is>
      </c>
      <c r="D28" s="5" t="inlineStr">
        <is>
          <t>-</t>
        </is>
      </c>
    </row>
    <row r="29">
      <c r="A29" s="4" t="inlineStr">
        <is>
          <t>Excedentes de Revaluacion</t>
        </is>
      </c>
      <c r="D29" s="5" t="inlineStr">
        <is>
          <t>-</t>
        </is>
      </c>
    </row>
    <row r="30">
      <c r="A30" s="4" t="inlineStr">
        <is>
          <t>Reservas Legales</t>
        </is>
      </c>
      <c r="D30" s="5" t="inlineStr">
        <is>
          <t>-</t>
        </is>
      </c>
    </row>
    <row r="31">
      <c r="A31" s="4" t="inlineStr">
        <is>
          <t>Otras Reservas</t>
        </is>
      </c>
      <c r="D31" s="5" t="inlineStr">
        <is>
          <t>-</t>
        </is>
      </c>
    </row>
    <row r="32">
      <c r="A32" s="4" t="inlineStr">
        <is>
          <t>Resultados Acumulados</t>
        </is>
      </c>
      <c r="D32" s="5" t="inlineStr">
        <is>
          <t>-</t>
        </is>
      </c>
    </row>
    <row r="33">
      <c r="A33" s="6" t="inlineStr">
        <is>
          <t>TOTAL PATRIMONIO NETO</t>
        </is>
      </c>
      <c r="D33" s="7">
        <f>D26+D27+D28+D29+D30+D31+D32</f>
        <v/>
      </c>
    </row>
    <row r="34">
      <c r="A34" s="8" t="n"/>
      <c r="B34" s="8" t="n"/>
      <c r="C34" s="8" t="n"/>
      <c r="D34" s="8" t="n"/>
    </row>
    <row r="35">
      <c r="A35" s="6" t="inlineStr">
        <is>
          <t>TOTAL PASIVO Y PATRIMONIO NETO</t>
        </is>
      </c>
      <c r="D35" s="7">
        <f>D20+D33</f>
        <v/>
      </c>
    </row>
  </sheetData>
  <mergeCells count="9">
    <mergeCell ref="A4:B4"/>
    <mergeCell ref="A1:D1"/>
    <mergeCell ref="A5:D5"/>
    <mergeCell ref="A15:B15"/>
    <mergeCell ref="A4:D4"/>
    <mergeCell ref="A5:B5"/>
    <mergeCell ref="A25:D25"/>
    <mergeCell ref="A2:D2"/>
    <mergeCell ref="A13:D1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8" customHeight="1">
      <c r="A1" s="1" t="inlineStr">
        <is>
          <t>BALANCE DE COMPROBACIÓN — ABRIL 2026</t>
        </is>
      </c>
    </row>
    <row r="2">
      <c r="A2" s="2" t="inlineStr">
        <is>
          <t>RUC: 20123456789   |   Comercial Andina S.A.C.</t>
        </is>
      </c>
    </row>
    <row r="4">
      <c r="A4" s="18" t="inlineStr">
        <is>
          <t>Código</t>
        </is>
      </c>
      <c r="B4" s="18" t="inlineStr">
        <is>
          <t>Denominación</t>
        </is>
      </c>
      <c r="C4" s="18" t="inlineStr">
        <is>
          <t>Debe</t>
        </is>
      </c>
      <c r="D4" s="18" t="inlineStr">
        <is>
          <t>Haber</t>
        </is>
      </c>
      <c r="E4" s="18" t="inlineStr">
        <is>
          <t>Saldo Deudor</t>
        </is>
      </c>
      <c r="F4" s="18" t="inlineStr">
        <is>
          <t>Saldo Acreedor</t>
        </is>
      </c>
    </row>
    <row r="5">
      <c r="A5" s="19" t="inlineStr">
        <is>
          <t>12.13</t>
        </is>
      </c>
      <c r="B5" s="19" t="inlineStr">
        <is>
          <t>Cuentas por Cobrar Comerciales - Terceros en Cobranza</t>
        </is>
      </c>
      <c r="C5" s="20" t="n">
        <v>246114.94</v>
      </c>
      <c r="D5" s="20" t="n">
        <v>0</v>
      </c>
      <c r="E5" s="20" t="n">
        <v>246114.94</v>
      </c>
      <c r="F5" s="20" t="n"/>
    </row>
    <row r="6">
      <c r="A6" s="21" t="inlineStr">
        <is>
          <t>16.73</t>
        </is>
      </c>
      <c r="B6" s="21" t="inlineStr">
        <is>
          <t>IGV por Acreditar en Compras</t>
        </is>
      </c>
      <c r="C6" s="22" t="n">
        <v>21255.19</v>
      </c>
      <c r="D6" s="22" t="n">
        <v>10177.69</v>
      </c>
      <c r="E6" s="22" t="n">
        <v>11077.5</v>
      </c>
      <c r="F6" s="22" t="n"/>
    </row>
    <row r="7">
      <c r="A7" s="19" t="inlineStr">
        <is>
          <t>20.111</t>
        </is>
      </c>
      <c r="B7" s="19" t="inlineStr">
        <is>
          <t>Mercaderías - Costo</t>
        </is>
      </c>
      <c r="C7" s="20" t="n">
        <v>0</v>
      </c>
      <c r="D7" s="20" t="n">
        <v>125143.22</v>
      </c>
      <c r="E7" s="20" t="n"/>
      <c r="F7" s="20" t="n"/>
    </row>
    <row r="8">
      <c r="A8" s="21" t="inlineStr">
        <is>
          <t>40.111</t>
        </is>
      </c>
      <c r="B8" s="21" t="inlineStr">
        <is>
          <t>IGV Cuenta Propia</t>
        </is>
      </c>
      <c r="C8" s="22" t="n">
        <v>18504.89</v>
      </c>
      <c r="D8" s="22" t="n">
        <v>37542.95</v>
      </c>
      <c r="E8" s="22" t="n"/>
      <c r="F8" s="22" t="n">
        <v>19038.06</v>
      </c>
    </row>
    <row r="9">
      <c r="A9" s="19" t="inlineStr">
        <is>
          <t>40.171</t>
        </is>
      </c>
      <c r="B9" s="19" t="inlineStr">
        <is>
          <t>Impuesto a la Renta 3ra Categoría</t>
        </is>
      </c>
      <c r="C9" s="20" t="n">
        <v>0</v>
      </c>
      <c r="D9" s="20" t="n">
        <v>8327.200000000001</v>
      </c>
      <c r="E9" s="20" t="n"/>
      <c r="F9" s="20" t="n">
        <v>8327.200000000001</v>
      </c>
    </row>
    <row r="10">
      <c r="A10" s="21" t="inlineStr">
        <is>
          <t>40.173</t>
        </is>
      </c>
      <c r="B10" s="21" t="inlineStr">
        <is>
          <t>5ta Categoría por Pagar</t>
        </is>
      </c>
      <c r="C10" s="22" t="n">
        <v>0</v>
      </c>
      <c r="D10" s="22" t="n">
        <v>836.66</v>
      </c>
      <c r="E10" s="22" t="n"/>
      <c r="F10" s="22" t="n">
        <v>836.66</v>
      </c>
    </row>
    <row r="11">
      <c r="A11" s="19" t="inlineStr">
        <is>
          <t>40.31</t>
        </is>
      </c>
      <c r="B11" s="19" t="inlineStr">
        <is>
          <t>EsSalud por Pagar</t>
        </is>
      </c>
      <c r="C11" s="20" t="n">
        <v>0</v>
      </c>
      <c r="D11" s="20" t="n">
        <v>2628</v>
      </c>
      <c r="E11" s="20" t="n"/>
      <c r="F11" s="20" t="n">
        <v>2628</v>
      </c>
    </row>
    <row r="12">
      <c r="A12" s="21" t="inlineStr">
        <is>
          <t>40.32</t>
        </is>
      </c>
      <c r="B12" s="21" t="inlineStr">
        <is>
          <t>ONP por Pagar</t>
        </is>
      </c>
      <c r="C12" s="22" t="n">
        <v>0</v>
      </c>
      <c r="D12" s="22" t="n">
        <v>1066</v>
      </c>
      <c r="E12" s="22" t="n"/>
      <c r="F12" s="22" t="n">
        <v>1066</v>
      </c>
    </row>
    <row r="13">
      <c r="A13" s="19" t="inlineStr">
        <is>
          <t>41.11</t>
        </is>
      </c>
      <c r="B13" s="19" t="inlineStr">
        <is>
          <t>Sueldos y Salarios por Pagar</t>
        </is>
      </c>
      <c r="C13" s="20" t="n">
        <v>0</v>
      </c>
      <c r="D13" s="20" t="n">
        <v>24672.34</v>
      </c>
      <c r="E13" s="20" t="n"/>
      <c r="F13" s="20" t="n">
        <v>24672.34</v>
      </c>
    </row>
    <row r="14">
      <c r="A14" s="21" t="inlineStr">
        <is>
          <t>41.14</t>
        </is>
      </c>
      <c r="B14" s="21" t="inlineStr">
        <is>
          <t>Gratificaciones por Pagar</t>
        </is>
      </c>
      <c r="C14" s="22" t="n">
        <v>0</v>
      </c>
      <c r="D14" s="22" t="n">
        <v>4866.67</v>
      </c>
      <c r="E14" s="22" t="n"/>
      <c r="F14" s="22" t="n">
        <v>4866.67</v>
      </c>
    </row>
    <row r="15">
      <c r="A15" s="19" t="inlineStr">
        <is>
          <t>41.15</t>
        </is>
      </c>
      <c r="B15" s="19" t="inlineStr">
        <is>
          <t>Vacaciones por Pagar</t>
        </is>
      </c>
      <c r="C15" s="20" t="n">
        <v>0</v>
      </c>
      <c r="D15" s="20" t="n">
        <v>2433.33</v>
      </c>
      <c r="E15" s="20" t="n"/>
      <c r="F15" s="20" t="n">
        <v>2433.33</v>
      </c>
    </row>
    <row r="16">
      <c r="A16" s="21" t="inlineStr">
        <is>
          <t>41.51</t>
        </is>
      </c>
      <c r="B16" s="21" t="inlineStr">
        <is>
          <t>CTS por Pagar</t>
        </is>
      </c>
      <c r="C16" s="22" t="n">
        <v>0</v>
      </c>
      <c r="D16" s="22" t="n">
        <v>2433.33</v>
      </c>
      <c r="E16" s="22" t="n"/>
      <c r="F16" s="22" t="n">
        <v>2433.33</v>
      </c>
    </row>
    <row r="17">
      <c r="A17" s="19" t="inlineStr">
        <is>
          <t>41.7</t>
        </is>
      </c>
      <c r="B17" s="19" t="inlineStr">
        <is>
          <t>AFP por Pagar</t>
        </is>
      </c>
      <c r="C17" s="20" t="n">
        <v>0</v>
      </c>
      <c r="D17" s="20" t="n">
        <v>2625</v>
      </c>
      <c r="E17" s="20" t="n"/>
      <c r="F17" s="20" t="n">
        <v>2625</v>
      </c>
    </row>
    <row r="18">
      <c r="A18" s="21" t="inlineStr">
        <is>
          <t>42.12</t>
        </is>
      </c>
      <c r="B18" s="21" t="inlineStr">
        <is>
          <t>Cuentas por Pagar Comerciales - Terceros Emitidas</t>
        </is>
      </c>
      <c r="C18" s="22" t="n">
        <v>0</v>
      </c>
      <c r="D18" s="22" t="n">
        <v>140996.02</v>
      </c>
      <c r="E18" s="22" t="n"/>
      <c r="F18" s="22" t="n">
        <v>140996.02</v>
      </c>
    </row>
    <row r="19">
      <c r="A19" s="19" t="inlineStr">
        <is>
          <t>60.11</t>
        </is>
      </c>
      <c r="B19" s="19" t="inlineStr">
        <is>
          <t>Compras - Mercaderías</t>
        </is>
      </c>
      <c r="C19" s="20" t="n">
        <v>110904.33</v>
      </c>
      <c r="D19" s="20" t="n">
        <v>0</v>
      </c>
      <c r="E19" s="20" t="n">
        <v>110904.33</v>
      </c>
      <c r="F19" s="20" t="n"/>
    </row>
    <row r="20">
      <c r="A20" s="21" t="inlineStr">
        <is>
          <t>60.913</t>
        </is>
      </c>
      <c r="B20" s="21" t="inlineStr">
        <is>
          <t>Compras - Costos Vinculados - Derechos Aduaneros</t>
        </is>
      </c>
      <c r="C20" s="22" t="n">
        <v>1656.5</v>
      </c>
      <c r="D20" s="22" t="n">
        <v>0</v>
      </c>
      <c r="E20" s="22" t="n">
        <v>1656.5</v>
      </c>
      <c r="F20" s="22" t="n"/>
    </row>
    <row r="21">
      <c r="A21" s="19" t="inlineStr">
        <is>
          <t>62.11</t>
        </is>
      </c>
      <c r="B21" s="19" t="inlineStr">
        <is>
          <t>Sueldos y Salarios</t>
        </is>
      </c>
      <c r="C21" s="20" t="n">
        <v>29200</v>
      </c>
      <c r="D21" s="20" t="n">
        <v>0</v>
      </c>
      <c r="E21" s="20" t="n">
        <v>29200</v>
      </c>
      <c r="F21" s="20" t="n"/>
    </row>
    <row r="22">
      <c r="A22" s="21" t="inlineStr">
        <is>
          <t>62.14</t>
        </is>
      </c>
      <c r="B22" s="21" t="inlineStr">
        <is>
          <t>Gratificaciones</t>
        </is>
      </c>
      <c r="C22" s="22" t="n">
        <v>4866.67</v>
      </c>
      <c r="D22" s="22" t="n">
        <v>0</v>
      </c>
      <c r="E22" s="22" t="n">
        <v>4866.67</v>
      </c>
      <c r="F22" s="22" t="n"/>
    </row>
    <row r="23">
      <c r="A23" s="19" t="inlineStr">
        <is>
          <t>62.15</t>
        </is>
      </c>
      <c r="B23" s="19" t="inlineStr">
        <is>
          <t>Vacaciones</t>
        </is>
      </c>
      <c r="C23" s="20" t="n">
        <v>2433.33</v>
      </c>
      <c r="D23" s="20" t="n">
        <v>0</v>
      </c>
      <c r="E23" s="20" t="n">
        <v>2433.33</v>
      </c>
      <c r="F23" s="20" t="n"/>
    </row>
    <row r="24">
      <c r="A24" s="21" t="inlineStr">
        <is>
          <t>62.71</t>
        </is>
      </c>
      <c r="B24" s="21" t="inlineStr">
        <is>
          <t>EsSalud</t>
        </is>
      </c>
      <c r="C24" s="22" t="n">
        <v>2628</v>
      </c>
      <c r="D24" s="22" t="n">
        <v>0</v>
      </c>
      <c r="E24" s="22" t="n">
        <v>2628</v>
      </c>
      <c r="F24" s="22" t="n"/>
    </row>
    <row r="25">
      <c r="A25" s="19" t="inlineStr">
        <is>
          <t>62.91</t>
        </is>
      </c>
      <c r="B25" s="19" t="inlineStr">
        <is>
          <t>CTS</t>
        </is>
      </c>
      <c r="C25" s="20" t="n">
        <v>2433.33</v>
      </c>
      <c r="D25" s="20" t="n">
        <v>0</v>
      </c>
      <c r="E25" s="20" t="n">
        <v>2433.33</v>
      </c>
      <c r="F25" s="20" t="n"/>
    </row>
    <row r="26">
      <c r="A26" s="21" t="inlineStr">
        <is>
          <t>63.111</t>
        </is>
      </c>
      <c r="B26" s="21" t="inlineStr">
        <is>
          <t>Transporte de Carga - Servicios de Terceros</t>
        </is>
      </c>
      <c r="C26" s="22" t="n">
        <v>2000</v>
      </c>
      <c r="D26" s="22" t="n">
        <v>0</v>
      </c>
      <c r="E26" s="22" t="n">
        <v>2000</v>
      </c>
      <c r="F26" s="22" t="n"/>
    </row>
    <row r="27">
      <c r="A27" s="19" t="inlineStr">
        <is>
          <t>63.52</t>
        </is>
      </c>
      <c r="B27" s="19" t="inlineStr">
        <is>
          <t>Alquiler de Edificaciones</t>
        </is>
      </c>
      <c r="C27" s="20" t="n">
        <v>4500</v>
      </c>
      <c r="D27" s="20" t="n">
        <v>0</v>
      </c>
      <c r="E27" s="20" t="n">
        <v>4500</v>
      </c>
      <c r="F27" s="20" t="n"/>
    </row>
    <row r="28">
      <c r="A28" s="21" t="inlineStr">
        <is>
          <t>63.61</t>
        </is>
      </c>
      <c r="B28" s="21" t="inlineStr">
        <is>
          <t>Energía Eléctrica</t>
        </is>
      </c>
      <c r="C28" s="22" t="n">
        <v>380</v>
      </c>
      <c r="D28" s="22" t="n">
        <v>0</v>
      </c>
      <c r="E28" s="22" t="n">
        <v>380</v>
      </c>
      <c r="F28" s="22" t="n"/>
    </row>
    <row r="29">
      <c r="A29" s="19" t="inlineStr">
        <is>
          <t>63.63</t>
        </is>
      </c>
      <c r="B29" s="19" t="inlineStr">
        <is>
          <t>Agua</t>
        </is>
      </c>
      <c r="C29" s="20" t="n">
        <v>120</v>
      </c>
      <c r="D29" s="20" t="n">
        <v>0</v>
      </c>
      <c r="E29" s="20" t="n">
        <v>120</v>
      </c>
      <c r="F29" s="20" t="n"/>
    </row>
    <row r="30">
      <c r="A30" s="21" t="inlineStr">
        <is>
          <t>63.65</t>
        </is>
      </c>
      <c r="B30" s="21" t="inlineStr">
        <is>
          <t>Internet</t>
        </is>
      </c>
      <c r="C30" s="22" t="n">
        <v>180</v>
      </c>
      <c r="D30" s="22" t="n">
        <v>0</v>
      </c>
      <c r="E30" s="22" t="n">
        <v>180</v>
      </c>
      <c r="F30" s="22" t="n"/>
    </row>
    <row r="31">
      <c r="A31" s="19" t="inlineStr">
        <is>
          <t>69.121</t>
        </is>
      </c>
      <c r="B31" s="19" t="inlineStr">
        <is>
          <t>Costo de Ventas - Mercadería Local Terceros</t>
        </is>
      </c>
      <c r="C31" s="20" t="n">
        <v>125143.22</v>
      </c>
      <c r="D31" s="20" t="n">
        <v>0</v>
      </c>
      <c r="E31" s="20" t="n">
        <v>125143.22</v>
      </c>
      <c r="F31" s="20" t="n"/>
    </row>
    <row r="32">
      <c r="A32" s="21" t="inlineStr">
        <is>
          <t>70.121</t>
        </is>
      </c>
      <c r="B32" s="21" t="inlineStr">
        <is>
          <t>Ventas de Mercaderías - Local</t>
        </is>
      </c>
      <c r="C32" s="22" t="n">
        <v>0</v>
      </c>
      <c r="D32" s="22" t="n">
        <v>208571.99</v>
      </c>
      <c r="E32" s="22" t="n"/>
      <c r="F32" s="22" t="n">
        <v>208571.99</v>
      </c>
    </row>
    <row r="33">
      <c r="A33" s="23" t="inlineStr">
        <is>
          <t>TOTALES</t>
        </is>
      </c>
      <c r="C33" s="7">
        <f>SUM(C5:C32)</f>
        <v/>
      </c>
      <c r="D33" s="7">
        <f>SUM(D5:D32)</f>
        <v/>
      </c>
      <c r="E33" s="7">
        <f>SUM(E5:E32)</f>
        <v/>
      </c>
      <c r="F33" s="7">
        <f>SUM(F5:F32)</f>
        <v/>
      </c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40" customWidth="1" min="3" max="3"/>
  </cols>
  <sheetData>
    <row r="1" ht="28" customHeight="1">
      <c r="A1" s="1" t="inlineStr">
        <is>
          <t>RATIOS FINANCIEROS — ABRIL 2026</t>
        </is>
      </c>
    </row>
    <row r="2">
      <c r="A2" s="2" t="inlineStr">
        <is>
          <t>RUC: 20123456789   |   Comercial Andina S.A.C.</t>
        </is>
      </c>
    </row>
    <row r="4">
      <c r="A4" s="18" t="inlineStr">
        <is>
          <t>Ratio</t>
        </is>
      </c>
      <c r="B4" s="18" t="inlineStr">
        <is>
          <t>Valor</t>
        </is>
      </c>
      <c r="C4" s="18" t="inlineStr">
        <is>
          <t>Interpretación</t>
        </is>
      </c>
    </row>
    <row r="5">
      <c r="A5" s="3" t="inlineStr">
        <is>
          <t>LIQUIDEZ</t>
        </is>
      </c>
    </row>
    <row r="6">
      <c r="A6" s="24" t="inlineStr">
        <is>
          <t>Liquidez Corriente</t>
        </is>
      </c>
      <c r="B6" s="25" t="n">
        <v>0.63</v>
      </c>
      <c r="C6" s="26" t="inlineStr">
        <is>
          <t>Activo Cte / Pasivo Cte  |  &gt;1.5 saludable</t>
        </is>
      </c>
    </row>
    <row r="7">
      <c r="A7" s="4" t="inlineStr">
        <is>
          <t>Prueba Ácida</t>
        </is>
      </c>
      <c r="B7" s="27" t="n">
        <v>1.23</v>
      </c>
      <c r="C7" s="28" t="inlineStr">
        <is>
          <t>(Activo Cte - Existencias) / Pasivo Cte  |  &gt;1.0 ideal</t>
        </is>
      </c>
    </row>
    <row r="8">
      <c r="A8" s="3" t="inlineStr">
        <is>
          <t>SOLVENCIA</t>
        </is>
      </c>
    </row>
    <row r="9">
      <c r="A9" s="4" t="inlineStr">
        <is>
          <t>Endeudamiento (%)</t>
        </is>
      </c>
      <c r="B9" s="27" t="n">
        <v>158.97</v>
      </c>
      <c r="C9" s="28" t="inlineStr">
        <is>
          <t>Pasivo Total / Activo Total × 100  |  &lt;60% razonable</t>
        </is>
      </c>
    </row>
    <row r="10">
      <c r="A10" s="3" t="inlineStr">
        <is>
          <t>RENTABILIDAD</t>
        </is>
      </c>
    </row>
    <row r="11">
      <c r="A11" s="4" t="inlineStr">
        <is>
          <t>Margen Bruto (%)</t>
        </is>
      </c>
      <c r="B11" s="27" t="n">
        <v>40</v>
      </c>
      <c r="C11" s="28" t="inlineStr">
        <is>
          <t>Utilidad Bruta / Ventas × 100</t>
        </is>
      </c>
    </row>
    <row r="12">
      <c r="A12" s="24" t="inlineStr">
        <is>
          <t>Margen Neto (%)</t>
        </is>
      </c>
      <c r="B12" s="25" t="n">
        <v>12.64</v>
      </c>
      <c r="C12" s="26" t="inlineStr">
        <is>
          <t>Utilidad Neta / Ventas × 100</t>
        </is>
      </c>
    </row>
    <row r="13">
      <c r="A13" s="4" t="inlineStr">
        <is>
          <t>ROA (%)</t>
        </is>
      </c>
      <c r="B13" s="27" t="n">
        <v>19.96</v>
      </c>
      <c r="C13" s="28" t="inlineStr">
        <is>
          <t>Utilidad Neta / Activo Total × 100</t>
        </is>
      </c>
    </row>
    <row r="14">
      <c r="A14" s="3" t="inlineStr">
        <is>
          <t>ACTIVIDAD</t>
        </is>
      </c>
    </row>
    <row r="15">
      <c r="A15" s="4" t="inlineStr">
        <is>
          <t>Rotación CxC (veces)</t>
        </is>
      </c>
      <c r="B15" s="27" t="n">
        <v>0.85</v>
      </c>
      <c r="C15" s="28" t="inlineStr">
        <is>
          <t>Ventas / CxC  |  cuántas veces se cobra al mes</t>
        </is>
      </c>
    </row>
  </sheetData>
  <mergeCells count="6">
    <mergeCell ref="A10:C10"/>
    <mergeCell ref="A1:C1"/>
    <mergeCell ref="A5:C5"/>
    <mergeCell ref="A8:C8"/>
    <mergeCell ref="A14:C14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2026-03-06T05:17:15Z</dcterms:created>
  <dcterms:modified xsi:type="dcterms:W3CDTF">2026-03-06T05:17:16Z</dcterms:modified>
</cp:coreProperties>
</file>